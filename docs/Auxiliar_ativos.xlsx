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xiliar_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4" customWidth="1" min="3" max="3"/>
    <col width="10" customWidth="1" min="4" max="4"/>
    <col width="7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8" customWidth="1" min="12" max="12"/>
    <col width="13" customWidth="1" min="13" max="13"/>
    <col width="8" customWidth="1" min="14" max="14"/>
    <col width="13" customWidth="1" min="15" max="15"/>
  </cols>
  <sheetData>
    <row r="1">
      <c r="A1" s="1" t="inlineStr">
        <is>
          <t>Classe</t>
        </is>
      </c>
      <c r="B1" s="1" t="inlineStr">
        <is>
          <t>Ticker</t>
        </is>
      </c>
      <c r="C1" s="1" t="inlineStr">
        <is>
          <t>Nome</t>
        </is>
      </c>
      <c r="D1" s="1" t="inlineStr">
        <is>
          <t>Tipo</t>
        </is>
      </c>
      <c r="E1" s="1" t="inlineStr">
        <is>
          <t>Moeda</t>
        </is>
      </c>
      <c r="F1" s="1" t="inlineStr">
        <is>
          <t>Preço Atual</t>
        </is>
      </c>
      <c r="G1" s="1" t="inlineStr">
        <is>
          <t>Variação dia</t>
        </is>
      </c>
      <c r="H1" s="1" t="inlineStr">
        <is>
          <t>Quantidade</t>
        </is>
      </c>
      <c r="I1" s="1" t="inlineStr">
        <is>
          <t>Preço Médio</t>
        </is>
      </c>
      <c r="J1" s="1" t="inlineStr">
        <is>
          <t>Preço Teto</t>
        </is>
      </c>
      <c r="K1" s="1" t="inlineStr">
        <is>
          <t>Viés</t>
        </is>
      </c>
      <c r="L1" s="1" t="inlineStr">
        <is>
          <t>P/VP</t>
        </is>
      </c>
      <c r="M1" s="1" t="inlineStr">
        <is>
          <t>Desconto P/VP</t>
        </is>
      </c>
      <c r="N1" s="1" t="inlineStr">
        <is>
          <t>P/L</t>
        </is>
      </c>
      <c r="O1" s="1" t="inlineStr">
        <is>
          <t>Desconto P/L</t>
        </is>
      </c>
    </row>
    <row r="2">
      <c r="A2" t="inlineStr">
        <is>
          <t>Ações</t>
        </is>
      </c>
      <c r="B2" t="inlineStr">
        <is>
          <t>WIZC3</t>
        </is>
      </c>
      <c r="C2">
        <f>VLOOKUP(B2,'Carteira Ações'!A:B,2,FALSE)</f>
        <v/>
      </c>
      <c r="E2" t="inlineStr">
        <is>
          <t>R$</t>
        </is>
      </c>
      <c r="F2">
        <f>VLOOKUP(B2,'Carteira Ações'!A:J,10,FALSE)</f>
        <v/>
      </c>
      <c r="G2">
        <f>VLOOKUP(B2,'Carteira Ações'!A:K,11,FALSE)</f>
        <v/>
      </c>
      <c r="H2">
        <f>VLOOKUP(B2,'Carteira Ações'!A:G,7,FALSE)</f>
        <v/>
      </c>
      <c r="I2">
        <f>VLOOKUP(B2,'Carteira Ações'!A:L,12,FALSE)</f>
        <v/>
      </c>
      <c r="J2">
        <f>IFERROR(VLOOKUP(B2,'Distribuição e Metas'!C42:S53,3,FALSE),"")</f>
        <v/>
      </c>
      <c r="K2">
        <f>IFERROR(VLOOKUP(B2,'Distribuição e Metas'!C42:S53,4,FALSE),"")</f>
        <v/>
      </c>
      <c r="L2">
        <f>IFERROR(VLOOKUP(B2,'Distribuição e Metas'!C42:S53,6,FALSE),"")</f>
        <v/>
      </c>
      <c r="M2">
        <f>IFERROR(VLOOKUP(B2,'Distribuição e Metas'!C42:S53,8,FALSE),"")</f>
        <v/>
      </c>
      <c r="N2">
        <f>IFERROR(VLOOKUP(B2,'Distribuição e Metas'!C42:S53,7,FALSE),"")</f>
        <v/>
      </c>
      <c r="O2">
        <f>IFERROR(VLOOKUP(B2,'Distribuição e Metas'!C42:S53,9,FALSE),"")</f>
        <v/>
      </c>
    </row>
    <row r="3">
      <c r="A3" t="inlineStr">
        <is>
          <t>Ações</t>
        </is>
      </c>
      <c r="B3" t="inlineStr">
        <is>
          <t>VAMO3</t>
        </is>
      </c>
      <c r="C3">
        <f>VLOOKUP(B3,'Carteira Ações'!A:B,2,FALSE)</f>
        <v/>
      </c>
      <c r="E3" t="inlineStr">
        <is>
          <t>R$</t>
        </is>
      </c>
      <c r="F3">
        <f>VLOOKUP(B3,'Carteira Ações'!A:J,10,FALSE)</f>
        <v/>
      </c>
      <c r="G3">
        <f>VLOOKUP(B3,'Carteira Ações'!A:K,11,FALSE)</f>
        <v/>
      </c>
      <c r="H3">
        <f>VLOOKUP(B3,'Carteira Ações'!A:G,7,FALSE)</f>
        <v/>
      </c>
      <c r="I3">
        <f>VLOOKUP(B3,'Carteira Ações'!A:L,12,FALSE)</f>
        <v/>
      </c>
      <c r="J3">
        <f>IFERROR(VLOOKUP(B3,'Distribuição e Metas'!C42:S53,3,FALSE),"")</f>
        <v/>
      </c>
      <c r="K3">
        <f>IFERROR(VLOOKUP(B3,'Distribuição e Metas'!C42:S53,4,FALSE),"")</f>
        <v/>
      </c>
      <c r="L3">
        <f>IFERROR(VLOOKUP(B3,'Distribuição e Metas'!C42:S53,6,FALSE),"")</f>
        <v/>
      </c>
      <c r="M3">
        <f>IFERROR(VLOOKUP(B3,'Distribuição e Metas'!C42:S53,8,FALSE),"")</f>
        <v/>
      </c>
      <c r="N3">
        <f>IFERROR(VLOOKUP(B3,'Distribuição e Metas'!C42:S53,7,FALSE),"")</f>
        <v/>
      </c>
      <c r="O3">
        <f>IFERROR(VLOOKUP(B3,'Distribuição e Metas'!C42:S53,9,FALSE),"")</f>
        <v/>
      </c>
    </row>
    <row r="4">
      <c r="A4" t="inlineStr">
        <is>
          <t>Ações</t>
        </is>
      </c>
      <c r="B4" t="inlineStr">
        <is>
          <t>SEER3</t>
        </is>
      </c>
      <c r="C4">
        <f>VLOOKUP(B4,'Carteira Ações'!A:B,2,FALSE)</f>
        <v/>
      </c>
      <c r="E4" t="inlineStr">
        <is>
          <t>R$</t>
        </is>
      </c>
      <c r="F4">
        <f>VLOOKUP(B4,'Carteira Ações'!A:J,10,FALSE)</f>
        <v/>
      </c>
      <c r="G4">
        <f>VLOOKUP(B4,'Carteira Ações'!A:K,11,FALSE)</f>
        <v/>
      </c>
      <c r="H4">
        <f>VLOOKUP(B4,'Carteira Ações'!A:G,7,FALSE)</f>
        <v/>
      </c>
      <c r="I4">
        <f>VLOOKUP(B4,'Carteira Ações'!A:L,12,FALSE)</f>
        <v/>
      </c>
      <c r="J4">
        <f>IFERROR(VLOOKUP(B4,'Distribuição e Metas'!C42:S53,3,FALSE),"")</f>
        <v/>
      </c>
      <c r="K4">
        <f>IFERROR(VLOOKUP(B4,'Distribuição e Metas'!C42:S53,4,FALSE),"")</f>
        <v/>
      </c>
      <c r="L4">
        <f>IFERROR(VLOOKUP(B4,'Distribuição e Metas'!C42:S53,6,FALSE),"")</f>
        <v/>
      </c>
      <c r="M4">
        <f>IFERROR(VLOOKUP(B4,'Distribuição e Metas'!C42:S53,8,FALSE),"")</f>
        <v/>
      </c>
      <c r="N4">
        <f>IFERROR(VLOOKUP(B4,'Distribuição e Metas'!C42:S53,7,FALSE),"")</f>
        <v/>
      </c>
      <c r="O4">
        <f>IFERROR(VLOOKUP(B4,'Distribuição e Metas'!C42:S53,9,FALSE),"")</f>
        <v/>
      </c>
    </row>
    <row r="5">
      <c r="A5" t="inlineStr">
        <is>
          <t>Ações</t>
        </is>
      </c>
      <c r="B5" t="inlineStr">
        <is>
          <t>TUPY3</t>
        </is>
      </c>
      <c r="C5">
        <f>VLOOKUP(B5,'Carteira Ações'!A:B,2,FALSE)</f>
        <v/>
      </c>
      <c r="E5" t="inlineStr">
        <is>
          <t>R$</t>
        </is>
      </c>
      <c r="F5">
        <f>VLOOKUP(B5,'Carteira Ações'!A:J,10,FALSE)</f>
        <v/>
      </c>
      <c r="G5">
        <f>VLOOKUP(B5,'Carteira Ações'!A:K,11,FALSE)</f>
        <v/>
      </c>
      <c r="H5">
        <f>VLOOKUP(B5,'Carteira Ações'!A:G,7,FALSE)</f>
        <v/>
      </c>
      <c r="I5">
        <f>VLOOKUP(B5,'Carteira Ações'!A:L,12,FALSE)</f>
        <v/>
      </c>
      <c r="J5">
        <f>IFERROR(VLOOKUP(B5,'Distribuição e Metas'!C42:S53,3,FALSE),"")</f>
        <v/>
      </c>
      <c r="K5">
        <f>IFERROR(VLOOKUP(B5,'Distribuição e Metas'!C42:S53,4,FALSE),"")</f>
        <v/>
      </c>
      <c r="L5">
        <f>IFERROR(VLOOKUP(B5,'Distribuição e Metas'!C42:S53,6,FALSE),"")</f>
        <v/>
      </c>
      <c r="M5">
        <f>IFERROR(VLOOKUP(B5,'Distribuição e Metas'!C42:S53,8,FALSE),"")</f>
        <v/>
      </c>
      <c r="N5">
        <f>IFERROR(VLOOKUP(B5,'Distribuição e Metas'!C42:S53,7,FALSE),"")</f>
        <v/>
      </c>
      <c r="O5">
        <f>IFERROR(VLOOKUP(B5,'Distribuição e Metas'!C42:S53,9,FALSE),"")</f>
        <v/>
      </c>
    </row>
    <row r="6">
      <c r="A6" t="inlineStr">
        <is>
          <t>Ações</t>
        </is>
      </c>
      <c r="B6" t="inlineStr">
        <is>
          <t>AXIA7</t>
        </is>
      </c>
      <c r="C6">
        <f>VLOOKUP(B6,'Carteira Ações'!A:B,2,FALSE)</f>
        <v/>
      </c>
      <c r="E6" t="inlineStr">
        <is>
          <t>R$</t>
        </is>
      </c>
      <c r="F6">
        <f>VLOOKUP(B6,'Carteira Ações'!A:J,10,FALSE)</f>
        <v/>
      </c>
      <c r="G6">
        <f>VLOOKUP(B6,'Carteira Ações'!A:K,11,FALSE)</f>
        <v/>
      </c>
      <c r="H6">
        <f>VLOOKUP(B6,'Carteira Ações'!A:G,7,FALSE)</f>
        <v/>
      </c>
      <c r="I6">
        <f>VLOOKUP(B6,'Carteira Ações'!A:L,12,FALSE)</f>
        <v/>
      </c>
      <c r="J6">
        <f>IFERROR(VLOOKUP(B6,'Distribuição e Metas'!C42:S53,3,FALSE),"")</f>
        <v/>
      </c>
      <c r="K6">
        <f>IFERROR(VLOOKUP(B6,'Distribuição e Metas'!C42:S53,4,FALSE),"")</f>
        <v/>
      </c>
      <c r="L6">
        <f>IFERROR(VLOOKUP(B6,'Distribuição e Metas'!C42:S53,6,FALSE),"")</f>
        <v/>
      </c>
      <c r="M6">
        <f>IFERROR(VLOOKUP(B6,'Distribuição e Metas'!C42:S53,8,FALSE),"")</f>
        <v/>
      </c>
      <c r="N6">
        <f>IFERROR(VLOOKUP(B6,'Distribuição e Metas'!C42:S53,7,FALSE),"")</f>
        <v/>
      </c>
      <c r="O6">
        <f>IFERROR(VLOOKUP(B6,'Distribuição e Metas'!C42:S53,9,FALSE),"")</f>
        <v/>
      </c>
    </row>
    <row r="7">
      <c r="A7" t="inlineStr">
        <is>
          <t>Ações</t>
        </is>
      </c>
      <c r="B7" t="inlineStr">
        <is>
          <t>AGRO3</t>
        </is>
      </c>
      <c r="C7">
        <f>VLOOKUP(B7,'Carteira Ações'!A:B,2,FALSE)</f>
        <v/>
      </c>
      <c r="E7" t="inlineStr">
        <is>
          <t>R$</t>
        </is>
      </c>
      <c r="F7">
        <f>VLOOKUP(B7,'Carteira Ações'!A:J,10,FALSE)</f>
        <v/>
      </c>
      <c r="G7">
        <f>VLOOKUP(B7,'Carteira Ações'!A:K,11,FALSE)</f>
        <v/>
      </c>
      <c r="H7">
        <f>VLOOKUP(B7,'Carteira Ações'!A:G,7,FALSE)</f>
        <v/>
      </c>
      <c r="I7">
        <f>VLOOKUP(B7,'Carteira Ações'!A:L,12,FALSE)</f>
        <v/>
      </c>
      <c r="J7">
        <f>IFERROR(VLOOKUP(B7,'Distribuição e Metas'!C42:S53,3,FALSE),"")</f>
        <v/>
      </c>
      <c r="K7">
        <f>IFERROR(VLOOKUP(B7,'Distribuição e Metas'!C42:S53,4,FALSE),"")</f>
        <v/>
      </c>
      <c r="L7">
        <f>IFERROR(VLOOKUP(B7,'Distribuição e Metas'!C42:S53,6,FALSE),"")</f>
        <v/>
      </c>
      <c r="M7">
        <f>IFERROR(VLOOKUP(B7,'Distribuição e Metas'!C42:S53,8,FALSE),"")</f>
        <v/>
      </c>
      <c r="N7">
        <f>IFERROR(VLOOKUP(B7,'Distribuição e Metas'!C42:S53,7,FALSE),"")</f>
        <v/>
      </c>
      <c r="O7">
        <f>IFERROR(VLOOKUP(B7,'Distribuição e Metas'!C42:S53,9,FALSE),"")</f>
        <v/>
      </c>
    </row>
    <row r="8">
      <c r="A8" t="inlineStr">
        <is>
          <t>Ações</t>
        </is>
      </c>
      <c r="B8" t="inlineStr">
        <is>
          <t>B3SA3</t>
        </is>
      </c>
      <c r="C8">
        <f>VLOOKUP(B8,'Carteira Ações'!A:B,2,FALSE)</f>
        <v/>
      </c>
      <c r="E8" t="inlineStr">
        <is>
          <t>R$</t>
        </is>
      </c>
      <c r="F8">
        <f>VLOOKUP(B8,'Carteira Ações'!A:J,10,FALSE)</f>
        <v/>
      </c>
      <c r="G8">
        <f>VLOOKUP(B8,'Carteira Ações'!A:K,11,FALSE)</f>
        <v/>
      </c>
      <c r="H8">
        <f>VLOOKUP(B8,'Carteira Ações'!A:G,7,FALSE)</f>
        <v/>
      </c>
      <c r="I8">
        <f>VLOOKUP(B8,'Carteira Ações'!A:L,12,FALSE)</f>
        <v/>
      </c>
      <c r="J8">
        <f>IFERROR(VLOOKUP(B8,'Distribuição e Metas'!C42:S53,3,FALSE),"")</f>
        <v/>
      </c>
      <c r="K8">
        <f>IFERROR(VLOOKUP(B8,'Distribuição e Metas'!C42:S53,4,FALSE),"")</f>
        <v/>
      </c>
      <c r="L8">
        <f>IFERROR(VLOOKUP(B8,'Distribuição e Metas'!C42:S53,6,FALSE),"")</f>
        <v/>
      </c>
      <c r="M8">
        <f>IFERROR(VLOOKUP(B8,'Distribuição e Metas'!C42:S53,8,FALSE),"")</f>
        <v/>
      </c>
      <c r="N8">
        <f>IFERROR(VLOOKUP(B8,'Distribuição e Metas'!C42:S53,7,FALSE),"")</f>
        <v/>
      </c>
      <c r="O8">
        <f>IFERROR(VLOOKUP(B8,'Distribuição e Metas'!C42:S53,9,FALSE),"")</f>
        <v/>
      </c>
    </row>
    <row r="9">
      <c r="A9" t="inlineStr">
        <is>
          <t>Ações</t>
        </is>
      </c>
      <c r="B9" t="inlineStr">
        <is>
          <t>BBAS3</t>
        </is>
      </c>
      <c r="C9">
        <f>VLOOKUP(B9,'Carteira Ações'!A:B,2,FALSE)</f>
        <v/>
      </c>
      <c r="E9" t="inlineStr">
        <is>
          <t>R$</t>
        </is>
      </c>
      <c r="F9">
        <f>VLOOKUP(B9,'Carteira Ações'!A:J,10,FALSE)</f>
        <v/>
      </c>
      <c r="G9">
        <f>VLOOKUP(B9,'Carteira Ações'!A:K,11,FALSE)</f>
        <v/>
      </c>
      <c r="H9">
        <f>VLOOKUP(B9,'Carteira Ações'!A:G,7,FALSE)</f>
        <v/>
      </c>
      <c r="I9">
        <f>VLOOKUP(B9,'Carteira Ações'!A:L,12,FALSE)</f>
        <v/>
      </c>
      <c r="J9">
        <f>IFERROR(VLOOKUP(B9,'Distribuição e Metas'!C42:S53,3,FALSE),"")</f>
        <v/>
      </c>
      <c r="K9">
        <f>IFERROR(VLOOKUP(B9,'Distribuição e Metas'!C42:S53,4,FALSE),"")</f>
        <v/>
      </c>
      <c r="L9">
        <f>IFERROR(VLOOKUP(B9,'Distribuição e Metas'!C42:S53,6,FALSE),"")</f>
        <v/>
      </c>
      <c r="M9">
        <f>IFERROR(VLOOKUP(B9,'Distribuição e Metas'!C42:S53,8,FALSE),"")</f>
        <v/>
      </c>
      <c r="N9">
        <f>IFERROR(VLOOKUP(B9,'Distribuição e Metas'!C42:S53,7,FALSE),"")</f>
        <v/>
      </c>
      <c r="O9">
        <f>IFERROR(VLOOKUP(B9,'Distribuição e Metas'!C42:S53,9,FALSE),"")</f>
        <v/>
      </c>
    </row>
    <row r="10">
      <c r="A10" t="inlineStr">
        <is>
          <t>Ações</t>
        </is>
      </c>
      <c r="B10" t="inlineStr">
        <is>
          <t>BBSE3</t>
        </is>
      </c>
      <c r="C10">
        <f>VLOOKUP(B10,'Carteira Ações'!A:B,2,FALSE)</f>
        <v/>
      </c>
      <c r="E10" t="inlineStr">
        <is>
          <t>R$</t>
        </is>
      </c>
      <c r="F10">
        <f>VLOOKUP(B10,'Carteira Ações'!A:J,10,FALSE)</f>
        <v/>
      </c>
      <c r="G10">
        <f>VLOOKUP(B10,'Carteira Ações'!A:K,11,FALSE)</f>
        <v/>
      </c>
      <c r="H10">
        <f>VLOOKUP(B10,'Carteira Ações'!A:G,7,FALSE)</f>
        <v/>
      </c>
      <c r="I10">
        <f>VLOOKUP(B10,'Carteira Ações'!A:L,12,FALSE)</f>
        <v/>
      </c>
      <c r="J10">
        <f>IFERROR(VLOOKUP(B10,'Distribuição e Metas'!C42:S53,3,FALSE),"")</f>
        <v/>
      </c>
      <c r="K10">
        <f>IFERROR(VLOOKUP(B10,'Distribuição e Metas'!C42:S53,4,FALSE),"")</f>
        <v/>
      </c>
      <c r="L10">
        <f>IFERROR(VLOOKUP(B10,'Distribuição e Metas'!C42:S53,6,FALSE),"")</f>
        <v/>
      </c>
      <c r="M10">
        <f>IFERROR(VLOOKUP(B10,'Distribuição e Metas'!C42:S53,8,FALSE),"")</f>
        <v/>
      </c>
      <c r="N10">
        <f>IFERROR(VLOOKUP(B10,'Distribuição e Metas'!C42:S53,7,FALSE),"")</f>
        <v/>
      </c>
      <c r="O10">
        <f>IFERROR(VLOOKUP(B10,'Distribuição e Metas'!C42:S53,9,FALSE),"")</f>
        <v/>
      </c>
    </row>
    <row r="11">
      <c r="A11" t="inlineStr">
        <is>
          <t>Ações</t>
        </is>
      </c>
      <c r="B11" t="inlineStr">
        <is>
          <t>EGIE3</t>
        </is>
      </c>
      <c r="C11">
        <f>VLOOKUP(B11,'Carteira Ações'!A:B,2,FALSE)</f>
        <v/>
      </c>
      <c r="E11" t="inlineStr">
        <is>
          <t>R$</t>
        </is>
      </c>
      <c r="F11">
        <f>VLOOKUP(B11,'Carteira Ações'!A:J,10,FALSE)</f>
        <v/>
      </c>
      <c r="G11">
        <f>VLOOKUP(B11,'Carteira Ações'!A:K,11,FALSE)</f>
        <v/>
      </c>
      <c r="H11">
        <f>VLOOKUP(B11,'Carteira Ações'!A:G,7,FALSE)</f>
        <v/>
      </c>
      <c r="I11">
        <f>VLOOKUP(B11,'Carteira Ações'!A:L,12,FALSE)</f>
        <v/>
      </c>
      <c r="J11">
        <f>IFERROR(VLOOKUP(B11,'Distribuição e Metas'!C42:S53,3,FALSE),"")</f>
        <v/>
      </c>
      <c r="K11">
        <f>IFERROR(VLOOKUP(B11,'Distribuição e Metas'!C42:S53,4,FALSE),"")</f>
        <v/>
      </c>
      <c r="L11">
        <f>IFERROR(VLOOKUP(B11,'Distribuição e Metas'!C42:S53,6,FALSE),"")</f>
        <v/>
      </c>
      <c r="M11">
        <f>IFERROR(VLOOKUP(B11,'Distribuição e Metas'!C42:S53,8,FALSE),"")</f>
        <v/>
      </c>
      <c r="N11">
        <f>IFERROR(VLOOKUP(B11,'Distribuição e Metas'!C42:S53,7,FALSE),"")</f>
        <v/>
      </c>
      <c r="O11">
        <f>IFERROR(VLOOKUP(B11,'Distribuição e Metas'!C42:S53,9,FALSE),"")</f>
        <v/>
      </c>
    </row>
    <row r="12">
      <c r="A12" t="inlineStr">
        <is>
          <t>Ações</t>
        </is>
      </c>
      <c r="B12" t="inlineStr">
        <is>
          <t>PETR4</t>
        </is>
      </c>
      <c r="C12">
        <f>VLOOKUP(B12,'Carteira Ações'!A:B,2,FALSE)</f>
        <v/>
      </c>
      <c r="E12" t="inlineStr">
        <is>
          <t>R$</t>
        </is>
      </c>
      <c r="F12">
        <f>VLOOKUP(B12,'Carteira Ações'!A:J,10,FALSE)</f>
        <v/>
      </c>
      <c r="G12">
        <f>VLOOKUP(B12,'Carteira Ações'!A:K,11,FALSE)</f>
        <v/>
      </c>
      <c r="H12">
        <f>VLOOKUP(B12,'Carteira Ações'!A:G,7,FALSE)</f>
        <v/>
      </c>
      <c r="I12">
        <f>VLOOKUP(B12,'Carteira Ações'!A:L,12,FALSE)</f>
        <v/>
      </c>
      <c r="J12">
        <f>IFERROR(VLOOKUP(B12,'Distribuição e Metas'!C42:S53,3,FALSE),"")</f>
        <v/>
      </c>
      <c r="K12">
        <f>IFERROR(VLOOKUP(B12,'Distribuição e Metas'!C42:S53,4,FALSE),"")</f>
        <v/>
      </c>
      <c r="L12">
        <f>IFERROR(VLOOKUP(B12,'Distribuição e Metas'!C42:S53,6,FALSE),"")</f>
        <v/>
      </c>
      <c r="M12">
        <f>IFERROR(VLOOKUP(B12,'Distribuição e Metas'!C42:S53,8,FALSE),"")</f>
        <v/>
      </c>
      <c r="N12">
        <f>IFERROR(VLOOKUP(B12,'Distribuição e Metas'!C42:S53,7,FALSE),"")</f>
        <v/>
      </c>
      <c r="O12">
        <f>IFERROR(VLOOKUP(B12,'Distribuição e Metas'!C42:S53,9,FALSE),"")</f>
        <v/>
      </c>
    </row>
    <row r="13">
      <c r="A13" t="inlineStr">
        <is>
          <t>Ações</t>
        </is>
      </c>
      <c r="B13" t="inlineStr">
        <is>
          <t>VALE3</t>
        </is>
      </c>
      <c r="C13">
        <f>VLOOKUP(B13,'Carteira Ações'!A:B,2,FALSE)</f>
        <v/>
      </c>
      <c r="E13" t="inlineStr">
        <is>
          <t>R$</t>
        </is>
      </c>
      <c r="F13">
        <f>VLOOKUP(B13,'Carteira Ações'!A:J,10,FALSE)</f>
        <v/>
      </c>
      <c r="G13">
        <f>VLOOKUP(B13,'Carteira Ações'!A:K,11,FALSE)</f>
        <v/>
      </c>
      <c r="H13">
        <f>VLOOKUP(B13,'Carteira Ações'!A:G,7,FALSE)</f>
        <v/>
      </c>
      <c r="I13">
        <f>VLOOKUP(B13,'Carteira Ações'!A:L,12,FALSE)</f>
        <v/>
      </c>
      <c r="J13">
        <f>IFERROR(VLOOKUP(B13,'Distribuição e Metas'!C42:S53,3,FALSE),"")</f>
        <v/>
      </c>
      <c r="K13">
        <f>IFERROR(VLOOKUP(B13,'Distribuição e Metas'!C42:S53,4,FALSE),"")</f>
        <v/>
      </c>
      <c r="L13">
        <f>IFERROR(VLOOKUP(B13,'Distribuição e Metas'!C42:S53,6,FALSE),"")</f>
        <v/>
      </c>
      <c r="M13">
        <f>IFERROR(VLOOKUP(B13,'Distribuição e Metas'!C42:S53,8,FALSE),"")</f>
        <v/>
      </c>
      <c r="N13">
        <f>IFERROR(VLOOKUP(B13,'Distribuição e Metas'!C42:S53,7,FALSE),"")</f>
        <v/>
      </c>
      <c r="O13">
        <f>IFERROR(VLOOKUP(B13,'Distribuição e Metas'!C42:S53,9,FALSE),"")</f>
        <v/>
      </c>
    </row>
    <row r="14">
      <c r="A14" t="inlineStr">
        <is>
          <t>FIIs</t>
        </is>
      </c>
      <c r="B14" t="inlineStr">
        <is>
          <t>BTLG11</t>
        </is>
      </c>
      <c r="C14">
        <f>VLOOKUP(B14,'Carteira FIIs'!A:B,2,FALSE)</f>
        <v/>
      </c>
      <c r="D14">
        <f>VLOOKUP(B14,'Carteira FIIs'!A:C,3,FALSE)</f>
        <v/>
      </c>
      <c r="E14" t="inlineStr">
        <is>
          <t>R$</t>
        </is>
      </c>
      <c r="F14">
        <f>VLOOKUP(B14,'Carteira FIIs'!A:H,8,FALSE)</f>
        <v/>
      </c>
      <c r="G14">
        <f>VLOOKUP(B14,'Carteira FIIs'!A:I,9,FALSE)</f>
        <v/>
      </c>
      <c r="H14">
        <f>VLOOKUP(B14,'Carteira FIIs'!A:E,5,FALSE)</f>
        <v/>
      </c>
      <c r="I14">
        <f>VLOOKUP(B14,'Carteira FIIs'!A:J,10,FALSE)</f>
        <v/>
      </c>
      <c r="J14">
        <f>IFERROR(VLOOKUP(B14,'Distribuição e Metas'!C82:S91,3,FALSE),"")</f>
        <v/>
      </c>
      <c r="K14">
        <f>IFERROR(VLOOKUP(B14,'Distribuição e Metas'!C82:S91,4,FALSE),"")</f>
        <v/>
      </c>
      <c r="L14">
        <f>IFERROR(VLOOKUP(B14,'Distribuição e Metas'!C82:S91,6,FALSE),"")</f>
        <v/>
      </c>
      <c r="M14">
        <f>IFERROR(VLOOKUP(B14,'Distribuição e Metas'!C82:S91,8,FALSE),"")</f>
        <v/>
      </c>
    </row>
    <row r="15">
      <c r="A15" t="inlineStr">
        <is>
          <t>FIIs</t>
        </is>
      </c>
      <c r="B15" t="inlineStr">
        <is>
          <t>GARE11</t>
        </is>
      </c>
      <c r="C15">
        <f>VLOOKUP(B15,'Carteira FIIs'!A:B,2,FALSE)</f>
        <v/>
      </c>
      <c r="D15">
        <f>VLOOKUP(B15,'Carteira FIIs'!A:C,3,FALSE)</f>
        <v/>
      </c>
      <c r="E15" t="inlineStr">
        <is>
          <t>R$</t>
        </is>
      </c>
      <c r="F15">
        <f>VLOOKUP(B15,'Carteira FIIs'!A:H,8,FALSE)</f>
        <v/>
      </c>
      <c r="G15">
        <f>VLOOKUP(B15,'Carteira FIIs'!A:I,9,FALSE)</f>
        <v/>
      </c>
      <c r="H15">
        <f>VLOOKUP(B15,'Carteira FIIs'!A:E,5,FALSE)</f>
        <v/>
      </c>
      <c r="I15">
        <f>VLOOKUP(B15,'Carteira FIIs'!A:J,10,FALSE)</f>
        <v/>
      </c>
      <c r="J15">
        <f>IFERROR(VLOOKUP(B15,'Distribuição e Metas'!C82:S91,3,FALSE),"")</f>
        <v/>
      </c>
      <c r="K15">
        <f>IFERROR(VLOOKUP(B15,'Distribuição e Metas'!C82:S91,4,FALSE),"")</f>
        <v/>
      </c>
      <c r="L15">
        <f>IFERROR(VLOOKUP(B15,'Distribuição e Metas'!C82:S91,6,FALSE),"")</f>
        <v/>
      </c>
      <c r="M15">
        <f>IFERROR(VLOOKUP(B15,'Distribuição e Metas'!C82:S91,8,FALSE),"")</f>
        <v/>
      </c>
    </row>
    <row r="16">
      <c r="A16" t="inlineStr">
        <is>
          <t>FIIs</t>
        </is>
      </c>
      <c r="B16" t="inlineStr">
        <is>
          <t>PMLL11</t>
        </is>
      </c>
      <c r="C16">
        <f>VLOOKUP(B16,'Carteira FIIs'!A:B,2,FALSE)</f>
        <v/>
      </c>
      <c r="D16">
        <f>VLOOKUP(B16,'Carteira FIIs'!A:C,3,FALSE)</f>
        <v/>
      </c>
      <c r="E16" t="inlineStr">
        <is>
          <t>R$</t>
        </is>
      </c>
      <c r="F16">
        <f>VLOOKUP(B16,'Carteira FIIs'!A:H,8,FALSE)</f>
        <v/>
      </c>
      <c r="G16">
        <f>VLOOKUP(B16,'Carteira FIIs'!A:I,9,FALSE)</f>
        <v/>
      </c>
      <c r="H16">
        <f>VLOOKUP(B16,'Carteira FIIs'!A:E,5,FALSE)</f>
        <v/>
      </c>
      <c r="I16">
        <f>VLOOKUP(B16,'Carteira FIIs'!A:J,10,FALSE)</f>
        <v/>
      </c>
      <c r="J16">
        <f>IFERROR(VLOOKUP(B16,'Distribuição e Metas'!C82:S91,3,FALSE),"")</f>
        <v/>
      </c>
      <c r="K16">
        <f>IFERROR(VLOOKUP(B16,'Distribuição e Metas'!C82:S91,4,FALSE),"")</f>
        <v/>
      </c>
      <c r="L16">
        <f>IFERROR(VLOOKUP(B16,'Distribuição e Metas'!C82:S91,6,FALSE),"")</f>
        <v/>
      </c>
      <c r="M16">
        <f>IFERROR(VLOOKUP(B16,'Distribuição e Metas'!C82:S91,8,FALSE),"")</f>
        <v/>
      </c>
    </row>
    <row r="17">
      <c r="A17" t="inlineStr">
        <is>
          <t>FIIs</t>
        </is>
      </c>
      <c r="B17" t="inlineStr">
        <is>
          <t>VGIP11</t>
        </is>
      </c>
      <c r="C17">
        <f>VLOOKUP(B17,'Carteira FIIs'!A:B,2,FALSE)</f>
        <v/>
      </c>
      <c r="D17">
        <f>VLOOKUP(B17,'Carteira FIIs'!A:C,3,FALSE)</f>
        <v/>
      </c>
      <c r="E17" t="inlineStr">
        <is>
          <t>R$</t>
        </is>
      </c>
      <c r="F17">
        <f>VLOOKUP(B17,'Carteira FIIs'!A:H,8,FALSE)</f>
        <v/>
      </c>
      <c r="G17">
        <f>VLOOKUP(B17,'Carteira FIIs'!A:I,9,FALSE)</f>
        <v/>
      </c>
      <c r="H17">
        <f>VLOOKUP(B17,'Carteira FIIs'!A:E,5,FALSE)</f>
        <v/>
      </c>
      <c r="I17">
        <f>VLOOKUP(B17,'Carteira FIIs'!A:J,10,FALSE)</f>
        <v/>
      </c>
      <c r="J17">
        <f>IFERROR(VLOOKUP(B17,'Distribuição e Metas'!C82:S91,3,FALSE),"")</f>
        <v/>
      </c>
      <c r="K17">
        <f>IFERROR(VLOOKUP(B17,'Distribuição e Metas'!C82:S91,4,FALSE),"")</f>
        <v/>
      </c>
      <c r="L17">
        <f>IFERROR(VLOOKUP(B17,'Distribuição e Metas'!C82:S91,6,FALSE),"")</f>
        <v/>
      </c>
      <c r="M17">
        <f>IFERROR(VLOOKUP(B17,'Distribuição e Metas'!C82:S91,8,FALSE),"")</f>
        <v/>
      </c>
    </row>
    <row r="18">
      <c r="A18" t="inlineStr">
        <is>
          <t>FIIs</t>
        </is>
      </c>
      <c r="B18" t="inlineStr">
        <is>
          <t>TRXF11</t>
        </is>
      </c>
      <c r="C18">
        <f>VLOOKUP(B18,'Carteira FIIs'!A:B,2,FALSE)</f>
        <v/>
      </c>
      <c r="D18">
        <f>VLOOKUP(B18,'Carteira FIIs'!A:C,3,FALSE)</f>
        <v/>
      </c>
      <c r="E18" t="inlineStr">
        <is>
          <t>R$</t>
        </is>
      </c>
      <c r="F18">
        <f>VLOOKUP(B18,'Carteira FIIs'!A:H,8,FALSE)</f>
        <v/>
      </c>
      <c r="G18">
        <f>VLOOKUP(B18,'Carteira FIIs'!A:I,9,FALSE)</f>
        <v/>
      </c>
      <c r="H18">
        <f>VLOOKUP(B18,'Carteira FIIs'!A:E,5,FALSE)</f>
        <v/>
      </c>
      <c r="I18">
        <f>VLOOKUP(B18,'Carteira FIIs'!A:J,10,FALSE)</f>
        <v/>
      </c>
      <c r="J18">
        <f>IFERROR(VLOOKUP(B18,'Distribuição e Metas'!C82:S91,3,FALSE),"")</f>
        <v/>
      </c>
      <c r="K18">
        <f>IFERROR(VLOOKUP(B18,'Distribuição e Metas'!C82:S91,4,FALSE),"")</f>
        <v/>
      </c>
      <c r="L18">
        <f>IFERROR(VLOOKUP(B18,'Distribuição e Metas'!C82:S91,6,FALSE),"")</f>
        <v/>
      </c>
      <c r="M18">
        <f>IFERROR(VLOOKUP(B18,'Distribuição e Metas'!C82:S91,8,FALSE),"")</f>
        <v/>
      </c>
    </row>
    <row r="19">
      <c r="A19" t="inlineStr">
        <is>
          <t>FIIs</t>
        </is>
      </c>
      <c r="B19" t="inlineStr">
        <is>
          <t>RECR11</t>
        </is>
      </c>
      <c r="C19">
        <f>VLOOKUP(B19,'Carteira FIIs'!A:B,2,FALSE)</f>
        <v/>
      </c>
      <c r="D19">
        <f>VLOOKUP(B19,'Carteira FIIs'!A:C,3,FALSE)</f>
        <v/>
      </c>
      <c r="E19" t="inlineStr">
        <is>
          <t>R$</t>
        </is>
      </c>
      <c r="F19">
        <f>VLOOKUP(B19,'Carteira FIIs'!A:H,8,FALSE)</f>
        <v/>
      </c>
      <c r="G19">
        <f>VLOOKUP(B19,'Carteira FIIs'!A:I,9,FALSE)</f>
        <v/>
      </c>
      <c r="H19">
        <f>VLOOKUP(B19,'Carteira FIIs'!A:E,5,FALSE)</f>
        <v/>
      </c>
      <c r="I19">
        <f>VLOOKUP(B19,'Carteira FIIs'!A:J,10,FALSE)</f>
        <v/>
      </c>
      <c r="J19">
        <f>IFERROR(VLOOKUP(B19,'Distribuição e Metas'!C82:S91,3,FALSE),"")</f>
        <v/>
      </c>
      <c r="K19">
        <f>IFERROR(VLOOKUP(B19,'Distribuição e Metas'!C82:S91,4,FALSE),"")</f>
        <v/>
      </c>
      <c r="L19">
        <f>IFERROR(VLOOKUP(B19,'Distribuição e Metas'!C82:S91,6,FALSE),"")</f>
        <v/>
      </c>
      <c r="M19">
        <f>IFERROR(VLOOKUP(B19,'Distribuição e Metas'!C82:S91,8,FALSE),"")</f>
        <v/>
      </c>
    </row>
    <row r="20">
      <c r="A20" t="inlineStr">
        <is>
          <t>FIIs</t>
        </is>
      </c>
      <c r="B20" t="inlineStr">
        <is>
          <t>RBRY11</t>
        </is>
      </c>
      <c r="C20">
        <f>VLOOKUP(B20,'Carteira FIIs'!A:B,2,FALSE)</f>
        <v/>
      </c>
      <c r="D20">
        <f>VLOOKUP(B20,'Carteira FIIs'!A:C,3,FALSE)</f>
        <v/>
      </c>
      <c r="E20" t="inlineStr">
        <is>
          <t>R$</t>
        </is>
      </c>
      <c r="F20">
        <f>VLOOKUP(B20,'Carteira FIIs'!A:H,8,FALSE)</f>
        <v/>
      </c>
      <c r="G20">
        <f>VLOOKUP(B20,'Carteira FIIs'!A:I,9,FALSE)</f>
        <v/>
      </c>
      <c r="H20">
        <f>VLOOKUP(B20,'Carteira FIIs'!A:E,5,FALSE)</f>
        <v/>
      </c>
      <c r="I20">
        <f>VLOOKUP(B20,'Carteira FIIs'!A:J,10,FALSE)</f>
        <v/>
      </c>
      <c r="J20">
        <f>IFERROR(VLOOKUP(B20,'Distribuição e Metas'!C82:S91,3,FALSE),"")</f>
        <v/>
      </c>
      <c r="K20">
        <f>IFERROR(VLOOKUP(B20,'Distribuição e Metas'!C82:S91,4,FALSE),"")</f>
        <v/>
      </c>
      <c r="L20">
        <f>IFERROR(VLOOKUP(B20,'Distribuição e Metas'!C82:S91,6,FALSE),"")</f>
        <v/>
      </c>
      <c r="M20">
        <f>IFERROR(VLOOKUP(B20,'Distribuição e Metas'!C82:S91,8,FALSE),"")</f>
        <v/>
      </c>
    </row>
    <row r="21">
      <c r="A21" t="inlineStr">
        <is>
          <t>FIIs</t>
        </is>
      </c>
      <c r="B21" t="inlineStr">
        <is>
          <t>KNUQ11</t>
        </is>
      </c>
      <c r="C21">
        <f>VLOOKUP(B21,'Carteira FIIs'!A:B,2,FALSE)</f>
        <v/>
      </c>
      <c r="D21">
        <f>VLOOKUP(B21,'Carteira FIIs'!A:C,3,FALSE)</f>
        <v/>
      </c>
      <c r="E21" t="inlineStr">
        <is>
          <t>R$</t>
        </is>
      </c>
      <c r="F21">
        <f>VLOOKUP(B21,'Carteira FIIs'!A:H,8,FALSE)</f>
        <v/>
      </c>
      <c r="G21">
        <f>VLOOKUP(B21,'Carteira FIIs'!A:I,9,FALSE)</f>
        <v/>
      </c>
      <c r="H21">
        <f>VLOOKUP(B21,'Carteira FIIs'!A:E,5,FALSE)</f>
        <v/>
      </c>
      <c r="I21">
        <f>VLOOKUP(B21,'Carteira FIIs'!A:J,10,FALSE)</f>
        <v/>
      </c>
      <c r="J21">
        <f>IFERROR(VLOOKUP(B21,'Distribuição e Metas'!C82:S91,3,FALSE),"")</f>
        <v/>
      </c>
      <c r="K21">
        <f>IFERROR(VLOOKUP(B21,'Distribuição e Metas'!C82:S91,4,FALSE),"")</f>
        <v/>
      </c>
      <c r="L21">
        <f>IFERROR(VLOOKUP(B21,'Distribuição e Metas'!C82:S91,6,FALSE),"")</f>
        <v/>
      </c>
      <c r="M21">
        <f>IFERROR(VLOOKUP(B21,'Distribuição e Metas'!C82:S91,8,FALSE),"")</f>
        <v/>
      </c>
    </row>
    <row r="22">
      <c r="A22" t="inlineStr">
        <is>
          <t>FIIs</t>
        </is>
      </c>
      <c r="B22" t="inlineStr">
        <is>
          <t>HGRU11</t>
        </is>
      </c>
      <c r="C22">
        <f>VLOOKUP(B22,'Carteira FIIs'!A:B,2,FALSE)</f>
        <v/>
      </c>
      <c r="D22">
        <f>VLOOKUP(B22,'Carteira FIIs'!A:C,3,FALSE)</f>
        <v/>
      </c>
      <c r="E22" t="inlineStr">
        <is>
          <t>R$</t>
        </is>
      </c>
      <c r="F22">
        <f>VLOOKUP(B22,'Carteira FIIs'!A:H,8,FALSE)</f>
        <v/>
      </c>
      <c r="G22">
        <f>VLOOKUP(B22,'Carteira FIIs'!A:I,9,FALSE)</f>
        <v/>
      </c>
      <c r="H22">
        <f>VLOOKUP(B22,'Carteira FIIs'!A:E,5,FALSE)</f>
        <v/>
      </c>
      <c r="I22">
        <f>VLOOKUP(B22,'Carteira FIIs'!A:J,10,FALSE)</f>
        <v/>
      </c>
      <c r="J22">
        <f>IFERROR(VLOOKUP(B22,'Distribuição e Metas'!C82:S91,3,FALSE),"")</f>
        <v/>
      </c>
      <c r="K22">
        <f>IFERROR(VLOOKUP(B22,'Distribuição e Metas'!C82:S91,4,FALSE),"")</f>
        <v/>
      </c>
      <c r="L22">
        <f>IFERROR(VLOOKUP(B22,'Distribuição e Metas'!C82:S91,6,FALSE),"")</f>
        <v/>
      </c>
      <c r="M22">
        <f>IFERROR(VLOOKUP(B22,'Distribuição e Metas'!C82:S91,8,FALSE),"")</f>
        <v/>
      </c>
    </row>
    <row r="23">
      <c r="A23" t="inlineStr">
        <is>
          <t>FIIs</t>
        </is>
      </c>
      <c r="B23" t="inlineStr">
        <is>
          <t>XPML11</t>
        </is>
      </c>
      <c r="C23">
        <f>VLOOKUP(B23,'Carteira FIIs'!A:B,2,FALSE)</f>
        <v/>
      </c>
      <c r="D23">
        <f>VLOOKUP(B23,'Carteira FIIs'!A:C,3,FALSE)</f>
        <v/>
      </c>
      <c r="E23" t="inlineStr">
        <is>
          <t>R$</t>
        </is>
      </c>
      <c r="F23">
        <f>VLOOKUP(B23,'Carteira FIIs'!A:H,8,FALSE)</f>
        <v/>
      </c>
      <c r="G23">
        <f>VLOOKUP(B23,'Carteira FIIs'!A:I,9,FALSE)</f>
        <v/>
      </c>
      <c r="H23">
        <f>VLOOKUP(B23,'Carteira FIIs'!A:E,5,FALSE)</f>
        <v/>
      </c>
      <c r="I23">
        <f>VLOOKUP(B23,'Carteira FIIs'!A:J,10,FALSE)</f>
        <v/>
      </c>
      <c r="J23">
        <f>IFERROR(VLOOKUP(B23,'Distribuição e Metas'!C82:S91,3,FALSE),"")</f>
        <v/>
      </c>
      <c r="K23">
        <f>IFERROR(VLOOKUP(B23,'Distribuição e Metas'!C82:S91,4,FALSE),"")</f>
        <v/>
      </c>
      <c r="L23">
        <f>IFERROR(VLOOKUP(B23,'Distribuição e Metas'!C82:S91,6,FALSE),"")</f>
        <v/>
      </c>
      <c r="M23">
        <f>IFERROR(VLOOKUP(B23,'Distribuição e Metas'!C82:S91,8,FALSE),"")</f>
        <v/>
      </c>
    </row>
    <row r="24">
      <c r="A24" t="inlineStr">
        <is>
          <t>Ações EUA</t>
        </is>
      </c>
      <c r="B24" t="inlineStr">
        <is>
          <t>GPRK</t>
        </is>
      </c>
      <c r="C24">
        <f>VLOOKUP(B24,'Carteira Ações USA'!A:B,2,FALSE)</f>
        <v/>
      </c>
      <c r="E24" t="inlineStr">
        <is>
          <t>US$</t>
        </is>
      </c>
      <c r="F24">
        <f>VLOOKUP(B24,'Carteira Ações USA'!A:J,10,FALSE)</f>
        <v/>
      </c>
      <c r="G24">
        <f>VLOOKUP(B24,'Carteira Ações USA'!A:K,11,FALSE)</f>
        <v/>
      </c>
      <c r="H24">
        <f>VLOOKUP(B24,'Carteira Ações USA'!A:G,7,FALSE)</f>
        <v/>
      </c>
      <c r="I24">
        <f>VLOOKUP(B24,'Carteira Ações USA'!A:L,12,FALSE)</f>
        <v/>
      </c>
      <c r="J24">
        <f>IFERROR(VLOOKUP(B24,'Distribuição e Metas'!C59:Q65,3,FALSE),"")</f>
        <v/>
      </c>
      <c r="K24">
        <f>IFERROR(VLOOKUP(B24,'Distribuição e Metas'!C59:Q65,4,FALSE),"")</f>
        <v/>
      </c>
      <c r="L24">
        <f>IFERROR(VLOOKUP(B24,'Distribuição e Metas'!C59:Q65,6,FALSE),"")</f>
        <v/>
      </c>
      <c r="M24">
        <f>IFERROR(VLOOKUP(B24,'Distribuição e Metas'!C59:Q65,8,FALSE),"")</f>
        <v/>
      </c>
    </row>
    <row r="25">
      <c r="A25" t="inlineStr">
        <is>
          <t>Ações EUA</t>
        </is>
      </c>
      <c r="B25" t="inlineStr">
        <is>
          <t>CHTR</t>
        </is>
      </c>
      <c r="C25">
        <f>VLOOKUP(B25,'Carteira Ações USA'!A:B,2,FALSE)</f>
        <v/>
      </c>
      <c r="E25" t="inlineStr">
        <is>
          <t>US$</t>
        </is>
      </c>
      <c r="F25">
        <f>VLOOKUP(B25,'Carteira Ações USA'!A:J,10,FALSE)</f>
        <v/>
      </c>
      <c r="G25">
        <f>VLOOKUP(B25,'Carteira Ações USA'!A:K,11,FALSE)</f>
        <v/>
      </c>
      <c r="H25">
        <f>VLOOKUP(B25,'Carteira Ações USA'!A:G,7,FALSE)</f>
        <v/>
      </c>
      <c r="I25">
        <f>VLOOKUP(B25,'Carteira Ações USA'!A:L,12,FALSE)</f>
        <v/>
      </c>
      <c r="J25">
        <f>IFERROR(VLOOKUP(B25,'Distribuição e Metas'!C59:Q65,3,FALSE),"")</f>
        <v/>
      </c>
      <c r="K25">
        <f>IFERROR(VLOOKUP(B25,'Distribuição e Metas'!C59:Q65,4,FALSE),"")</f>
        <v/>
      </c>
      <c r="L25">
        <f>IFERROR(VLOOKUP(B25,'Distribuição e Metas'!C59:Q65,6,FALSE),"")</f>
        <v/>
      </c>
      <c r="M25">
        <f>IFERROR(VLOOKUP(B25,'Distribuição e Metas'!C59:Q65,8,FALSE),"")</f>
        <v/>
      </c>
    </row>
    <row r="26">
      <c r="A26" t="inlineStr">
        <is>
          <t>Ações EUA</t>
        </is>
      </c>
      <c r="B26" t="inlineStr">
        <is>
          <t>SIRI</t>
        </is>
      </c>
      <c r="C26">
        <f>VLOOKUP(B26,'Carteira Ações USA'!A:B,2,FALSE)</f>
        <v/>
      </c>
      <c r="E26" t="inlineStr">
        <is>
          <t>US$</t>
        </is>
      </c>
      <c r="F26">
        <f>VLOOKUP(B26,'Carteira Ações USA'!A:J,10,FALSE)</f>
        <v/>
      </c>
      <c r="G26">
        <f>VLOOKUP(B26,'Carteira Ações USA'!A:K,11,FALSE)</f>
        <v/>
      </c>
      <c r="H26">
        <f>VLOOKUP(B26,'Carteira Ações USA'!A:G,7,FALSE)</f>
        <v/>
      </c>
      <c r="I26">
        <f>VLOOKUP(B26,'Carteira Ações USA'!A:L,12,FALSE)</f>
        <v/>
      </c>
      <c r="J26">
        <f>IFERROR(VLOOKUP(B26,'Distribuição e Metas'!C59:Q65,3,FALSE),"")</f>
        <v/>
      </c>
      <c r="K26">
        <f>IFERROR(VLOOKUP(B26,'Distribuição e Metas'!C59:Q65,4,FALSE),"")</f>
        <v/>
      </c>
      <c r="L26">
        <f>IFERROR(VLOOKUP(B26,'Distribuição e Metas'!C59:Q65,6,FALSE),"")</f>
        <v/>
      </c>
      <c r="M26">
        <f>IFERROR(VLOOKUP(B26,'Distribuição e Metas'!C59:Q65,8,FALSE),"")</f>
        <v/>
      </c>
    </row>
    <row r="27">
      <c r="A27" t="inlineStr">
        <is>
          <t>Ações EUA</t>
        </is>
      </c>
      <c r="B27" t="inlineStr">
        <is>
          <t>EWBC</t>
        </is>
      </c>
      <c r="C27">
        <f>VLOOKUP(B27,'Carteira Ações USA'!A:B,2,FALSE)</f>
        <v/>
      </c>
      <c r="E27" t="inlineStr">
        <is>
          <t>US$</t>
        </is>
      </c>
      <c r="F27">
        <f>VLOOKUP(B27,'Carteira Ações USA'!A:J,10,FALSE)</f>
        <v/>
      </c>
      <c r="G27">
        <f>VLOOKUP(B27,'Carteira Ações USA'!A:K,11,FALSE)</f>
        <v/>
      </c>
      <c r="H27">
        <f>VLOOKUP(B27,'Carteira Ações USA'!A:G,7,FALSE)</f>
        <v/>
      </c>
      <c r="I27">
        <f>VLOOKUP(B27,'Carteira Ações USA'!A:L,12,FALSE)</f>
        <v/>
      </c>
      <c r="J27">
        <f>IFERROR(VLOOKUP(B27,'Distribuição e Metas'!C59:Q65,3,FALSE),"")</f>
        <v/>
      </c>
      <c r="K27">
        <f>IFERROR(VLOOKUP(B27,'Distribuição e Metas'!C59:Q65,4,FALSE),"")</f>
        <v/>
      </c>
      <c r="L27">
        <f>IFERROR(VLOOKUP(B27,'Distribuição e Metas'!C59:Q65,6,FALSE),"")</f>
        <v/>
      </c>
      <c r="M27">
        <f>IFERROR(VLOOKUP(B27,'Distribuição e Metas'!C59:Q65,8,FALSE),"")</f>
        <v/>
      </c>
    </row>
    <row r="28">
      <c r="A28" t="inlineStr">
        <is>
          <t>Ações EUA</t>
        </is>
      </c>
      <c r="B28" t="inlineStr">
        <is>
          <t>PAM</t>
        </is>
      </c>
      <c r="C28">
        <f>VLOOKUP(B28,'Carteira Ações USA'!A:B,2,FALSE)</f>
        <v/>
      </c>
      <c r="E28" t="inlineStr">
        <is>
          <t>US$</t>
        </is>
      </c>
      <c r="F28">
        <f>VLOOKUP(B28,'Carteira Ações USA'!A:J,10,FALSE)</f>
        <v/>
      </c>
      <c r="G28">
        <f>VLOOKUP(B28,'Carteira Ações USA'!A:K,11,FALSE)</f>
        <v/>
      </c>
      <c r="H28">
        <f>VLOOKUP(B28,'Carteira Ações USA'!A:G,7,FALSE)</f>
        <v/>
      </c>
      <c r="I28">
        <f>VLOOKUP(B28,'Carteira Ações USA'!A:L,12,FALSE)</f>
        <v/>
      </c>
      <c r="J28">
        <f>IFERROR(VLOOKUP(B28,'Distribuição e Metas'!C59:Q65,3,FALSE),"")</f>
        <v/>
      </c>
      <c r="K28">
        <f>IFERROR(VLOOKUP(B28,'Distribuição e Metas'!C59:Q65,4,FALSE),"")</f>
        <v/>
      </c>
      <c r="L28">
        <f>IFERROR(VLOOKUP(B28,'Distribuição e Metas'!C59:Q65,6,FALSE),"")</f>
        <v/>
      </c>
      <c r="M28">
        <f>IFERROR(VLOOKUP(B28,'Distribuição e Metas'!C59:Q65,8,FALSE),"")</f>
        <v/>
      </c>
    </row>
    <row r="29">
      <c r="A29" t="inlineStr">
        <is>
          <t>Ações EUA</t>
        </is>
      </c>
      <c r="B29" t="inlineStr">
        <is>
          <t>PROSY</t>
        </is>
      </c>
      <c r="C29">
        <f>VLOOKUP(B29,'Carteira Ações USA'!A:B,2,FALSE)</f>
        <v/>
      </c>
      <c r="E29" t="inlineStr">
        <is>
          <t>US$</t>
        </is>
      </c>
      <c r="F29">
        <f>VLOOKUP(B29,'Carteira Ações USA'!A:J,10,FALSE)</f>
        <v/>
      </c>
      <c r="G29">
        <f>VLOOKUP(B29,'Carteira Ações USA'!A:K,11,FALSE)</f>
        <v/>
      </c>
      <c r="H29">
        <f>VLOOKUP(B29,'Carteira Ações USA'!A:G,7,FALSE)</f>
        <v/>
      </c>
      <c r="I29">
        <f>VLOOKUP(B29,'Carteira Ações USA'!A:L,12,FALSE)</f>
        <v/>
      </c>
      <c r="J29">
        <f>IFERROR(VLOOKUP(B29,'Distribuição e Metas'!C59:Q65,3,FALSE),"")</f>
        <v/>
      </c>
      <c r="K29">
        <f>IFERROR(VLOOKUP(B29,'Distribuição e Metas'!C59:Q65,4,FALSE),"")</f>
        <v/>
      </c>
      <c r="L29">
        <f>IFERROR(VLOOKUP(B29,'Distribuição e Metas'!C59:Q65,6,FALSE),"")</f>
        <v/>
      </c>
      <c r="M29">
        <f>IFERROR(VLOOKUP(B29,'Distribuição e Metas'!C59:Q65,8,FALSE),"")</f>
        <v/>
      </c>
    </row>
    <row r="30">
      <c r="A30" t="inlineStr">
        <is>
          <t>Ações EUA</t>
        </is>
      </c>
      <c r="B30" t="inlineStr">
        <is>
          <t>VNOM</t>
        </is>
      </c>
      <c r="C30">
        <f>VLOOKUP(B30,'Carteira Ações USA'!A:B,2,FALSE)</f>
        <v/>
      </c>
      <c r="E30" t="inlineStr">
        <is>
          <t>US$</t>
        </is>
      </c>
      <c r="F30">
        <f>VLOOKUP(B30,'Carteira Ações USA'!A:J,10,FALSE)</f>
        <v/>
      </c>
      <c r="G30">
        <f>VLOOKUP(B30,'Carteira Ações USA'!A:K,11,FALSE)</f>
        <v/>
      </c>
      <c r="H30">
        <f>VLOOKUP(B30,'Carteira Ações USA'!A:G,7,FALSE)</f>
        <v/>
      </c>
      <c r="I30">
        <f>VLOOKUP(B30,'Carteira Ações USA'!A:L,12,FALSE)</f>
        <v/>
      </c>
      <c r="J30">
        <f>IFERROR(VLOOKUP(B30,'Distribuição e Metas'!C59:Q65,3,FALSE),"")</f>
        <v/>
      </c>
      <c r="K30">
        <f>IFERROR(VLOOKUP(B30,'Distribuição e Metas'!C59:Q65,4,FALSE),"")</f>
        <v/>
      </c>
      <c r="L30">
        <f>IFERROR(VLOOKUP(B30,'Distribuição e Metas'!C59:Q65,6,FALSE),"")</f>
        <v/>
      </c>
      <c r="M30">
        <f>IFERROR(VLOOKUP(B30,'Distribuição e Metas'!C59:Q65,8,FALSE),"")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2026-09-12T21:46:10Z</dcterms:created>
  <dcterms:modified xmlns:dcterms="http://purl.org/dc/terms/" xmlns:xsi="http://www.w3.org/2001/XMLSchema-instance" xsi:type="dcterms:W3CDTF">2026-09-12T21:46:10Z</dcterms:modified>
</cp:coreProperties>
</file>